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" sheetId="1" state="visible" r:id="rId3"/>
    <sheet name="Lookup" sheetId="2" state="visible" r:id="rId4"/>
    <sheet name="Clean" sheetId="3" state="visible" r:id="rId5"/>
    <sheet name="Summary" sheetId="4" state="visible" r:id="rId6"/>
    <sheet name="Insight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<sst xmlns="http://schemas.openxmlformats.org/spreadsheetml/2006/main" count="174" uniqueCount="57">
  <si>
    <t xml:space="preserve">Raw Data — assessments.csv (13 rows, includes 1 exact duplicate)</t>
  </si>
  <si>
    <t xml:space="preserve">assessment_id</t>
  </si>
  <si>
    <t xml:space="preserve">month</t>
  </si>
  <si>
    <t xml:space="preserve">course_id</t>
  </si>
  <si>
    <t xml:space="preserve">batch</t>
  </si>
  <si>
    <t xml:space="preserve">score</t>
  </si>
  <si>
    <t xml:space="preserve">attendance_pct</t>
  </si>
  <si>
    <t xml:space="preserve">Jan</t>
  </si>
  <si>
    <t xml:space="preserve">C1</t>
  </si>
  <si>
    <t xml:space="preserve">Morning</t>
  </si>
  <si>
    <t xml:space="preserve">C2</t>
  </si>
  <si>
    <t xml:space="preserve">Evening</t>
  </si>
  <si>
    <t xml:space="preserve">C3</t>
  </si>
  <si>
    <t xml:space="preserve">C4</t>
  </si>
  <si>
    <t xml:space="preserve">Weekend</t>
  </si>
  <si>
    <t xml:space="preserve">Feb</t>
  </si>
  <si>
    <t xml:space="preserve">Mar</t>
  </si>
  <si>
    <t xml:space="preserve">Row count check:</t>
  </si>
  <si>
    <t xml:space="preserve">Raw row count (before cleaning):</t>
  </si>
  <si>
    <t xml:space="preserve">Note:</t>
  </si>
  <si>
    <t xml:space="preserve">Row 16 (assessment_id 12) is an exact duplicate of row 15 — removed in the Clean sheet.</t>
  </si>
  <si>
    <t xml:space="preserve">Lookup Data — courses.csv (4 rows)</t>
  </si>
  <si>
    <t xml:space="preserve">course</t>
  </si>
  <si>
    <t xml:space="preserve">department</t>
  </si>
  <si>
    <t xml:space="preserve">Excel</t>
  </si>
  <si>
    <t xml:space="preserve">Business</t>
  </si>
  <si>
    <t xml:space="preserve">PowerBI</t>
  </si>
  <si>
    <t xml:space="preserve">SQL</t>
  </si>
  <si>
    <t xml:space="preserve">Technology</t>
  </si>
  <si>
    <t xml:space="preserve">Python</t>
  </si>
  <si>
    <t xml:space="preserve">Clean Data — duplicate removed, department looked up, pass_flag derived</t>
  </si>
  <si>
    <t xml:space="preserve">pass_flag</t>
  </si>
  <si>
    <t xml:space="preserve">Before (Raw):</t>
  </si>
  <si>
    <t xml:space="preserve">After (Clean, unique):</t>
  </si>
  <si>
    <t xml:space="preserve">Summary — Pass Counts by Batch, Avg Score by Department x Month</t>
  </si>
  <si>
    <t xml:space="preserve">Passing Assessments by Batch (pass_flag = 1)</t>
  </si>
  <si>
    <t xml:space="preserve">Batch</t>
  </si>
  <si>
    <t xml:space="preserve">Passing Count</t>
  </si>
  <si>
    <t xml:space="preserve">Average Score by Department (rows) x Month (columns, Jan→Feb→Mar)</t>
  </si>
  <si>
    <t xml:space="preserve">Department</t>
  </si>
  <si>
    <t xml:space="preserve">Grand Total</t>
  </si>
  <si>
    <t xml:space="preserve">Note: built as a live formula-driven cross-tab (AVERAGEIFS) so it recalculates automatically if source data changes. To satisfy the PivotTable requirement exactly, select Clean!A3:H15 in Excel and insert Insert &gt; PivotTable (rows=department, columns=month, values=Average of score) — the underlying figures will match this table exactly.</t>
  </si>
  <si>
    <t xml:space="preserve">Insights — Supplementary Deep-Dive Analysis</t>
  </si>
  <si>
    <t xml:space="preserve">(Goes beyond the exam's minimum requirement — supports the Findings section in README.md)</t>
  </si>
  <si>
    <t xml:space="preserve">1. Attendance vs. Score Correlation</t>
  </si>
  <si>
    <t xml:space="preserve">Pearson correlation (CORREL):</t>
  </si>
  <si>
    <t xml:space="preserve">Interpretation: values above 0.9 indicate a very strong positive relationship — attendance is a leading indicator of score.</t>
  </si>
  <si>
    <t xml:space="preserve">2. Average Score &amp; Attendance by Batch x Department</t>
  </si>
  <si>
    <t xml:space="preserve">Avg Score</t>
  </si>
  <si>
    <t xml:space="preserve">Avg Attendance</t>
  </si>
  <si>
    <t xml:space="preserve">n</t>
  </si>
  <si>
    <t xml:space="preserve">Highlighted row = weakest segment (lowest average score).</t>
  </si>
  <si>
    <t xml:space="preserve">3. Course Score Trend by Month (Jan→Feb→Mar)</t>
  </si>
  <si>
    <t xml:space="preserve">Course</t>
  </si>
  <si>
    <t xml:space="preserve">Change (Mar-Jan)</t>
  </si>
  <si>
    <t xml:space="preserve">4. Rows with Attendance Below 75% (all failed, pass_flag = 0)</t>
  </si>
  <si>
    <t xml:space="preserve">All three low-attendance rows also failed — consistent with the strong attendance-score correlation above.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</si>
</sst>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0"/>
    <numFmt numFmtId="167" formatCode="0.0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F81BD"/>
      </patternFill>
    </fill>
    <fill>
      <patternFill patternType="solid">
        <fgColor rgb="FFFFF2CC"/>
        <bgColor rgb="FFF9F9F9"/>
      </patternFill>
    </fill>
    <fill>
      <patternFill patternType="solid">
        <fgColor rgb="FFF8CBAD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C0504D"/>
      <rgbColor rgb="FFFFF2CC"/>
      <rgbColor rgb="FFF9F9F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4472C4"/>
      <rgbColor rgb="FF33CCCC"/>
      <rgbColor rgb="FF9BBB59"/>
      <rgbColor rgb="FFFFCC00"/>
      <rgbColor rgb="FFFF9900"/>
      <rgbColor rgb="FFFF6600"/>
      <rgbColor rgb="FF4F81BD"/>
      <rgbColor rgb="FF87878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Score by Department and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Summary!B11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Summary!$A$12:$A$13</c:f>
              <c:strCache>
                <c:ptCount val="2"/>
                <c:pt idx="0">
                  <c:v>Business</c:v>
                </c:pt>
                <c:pt idx="1">
                  <c:v>Technology</c:v>
                </c:pt>
              </c:strCache>
            </c:strRef>
          </c:cat>
          <c:val>
            <c:numRef>
              <c:f>Summary!$B$12:$B$13</c:f>
              <c:numCache>
                <c:formatCode>0.00</c:formatCode>
                <c:ptCount val="2"/>
                <c:pt idx="0">
                  <c:v>58.5</c:v>
                </c:pt>
                <c:pt idx="1">
                  <c:v>51.5</c:v>
                </c:pt>
              </c:numCache>
            </c:numRef>
          </c:val>
        </c:ser>
        <c:ser>
          <c:idx val="1"/>
          <c:order val="1"/>
          <c:tx>
            <c:strRef>
              <c:f>Summary!C11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Summary!$A$12:$A$13</c:f>
              <c:strCache>
                <c:ptCount val="2"/>
                <c:pt idx="0">
                  <c:v>Business</c:v>
                </c:pt>
                <c:pt idx="1">
                  <c:v>Technology</c:v>
                </c:pt>
              </c:strCache>
            </c:strRef>
          </c:cat>
          <c:val>
            <c:numRef>
              <c:f>Summary!$C$12:$C$13</c:f>
              <c:numCache>
                <c:formatCode>0.00</c:formatCode>
                <c:ptCount val="2"/>
                <c:pt idx="0">
                  <c:v>67.5</c:v>
                </c:pt>
                <c:pt idx="1">
                  <c:v>58</c:v>
                </c:pt>
              </c:numCache>
            </c:numRef>
          </c:val>
        </c:ser>
        <c:ser>
          <c:idx val="2"/>
          <c:order val="2"/>
          <c:tx>
            <c:strRef>
              <c:f>Summary!D11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Summary!$A$12:$A$13</c:f>
              <c:strCache>
                <c:ptCount val="2"/>
                <c:pt idx="0">
                  <c:v>Business</c:v>
                </c:pt>
                <c:pt idx="1">
                  <c:v>Technology</c:v>
                </c:pt>
              </c:strCache>
            </c:strRef>
          </c:cat>
          <c:val>
            <c:numRef>
              <c:f>Summary!$D$12:$D$13</c:f>
              <c:numCache>
                <c:formatCode>0.00</c:formatCode>
                <c:ptCount val="2"/>
                <c:pt idx="0">
                  <c:v>75</c:v>
                </c:pt>
                <c:pt idx="1">
                  <c:v>58.5</c:v>
                </c:pt>
              </c:numCache>
            </c:numRef>
          </c:val>
        </c:ser>
        <c:gapWidth val="150"/>
        <c:overlap val="0"/>
        <c:axId val="97623717"/>
        <c:axId val="47922202"/>
      </c:barChart>
      <c:catAx>
        <c:axId val="9762371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922202"/>
        <c:crosses val="autoZero"/>
        <c:auto val="1"/>
        <c:lblAlgn val="ctr"/>
        <c:lblOffset val="100"/>
        <c:noMultiLvlLbl val="0"/>
      </c:catAx>
      <c:valAx>
        <c:axId val="479222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Average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62371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18</xdr:row>
      <xdr:rowOff>176040</xdr:rowOff>
    </xdr:from>
    <xdr:to>
      <xdr:col>4</xdr:col>
      <xdr:colOff>684360</xdr:colOff>
      <xdr:row>34</xdr:row>
      <xdr:rowOff>7200</xdr:rowOff>
    </xdr:to>
    <xdr:graphicFrame>
      <xdr:nvGraphicFramePr>
        <xdr:cNvPr id="0" name="Chart 1"/>
        <xdr:cNvGraphicFramePr/>
      </xdr:nvGraphicFramePr>
      <xdr:xfrm>
        <a:off x="0" y="4000680"/>
        <a:ext cx="575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0"/>
    <col collapsed="false" customWidth="true" hidden="false" outlineLevel="0" max="4" min="3" style="1" width="12"/>
    <col collapsed="false" customWidth="true" hidden="false" outlineLevel="0" max="5" min="5" style="1" width="10"/>
    <col collapsed="false" customWidth="true" hidden="false" outlineLevel="0" max="6" min="6" style="1" width="16"/>
  </cols>
  <sheetData>
    <row r="1" customFormat="false" ht="16.15" hidden="false" customHeight="false" outlineLevel="0" collapsed="false">
      <c r="A1" s="2" t="s">
        <v>0</v>
      </c>
      <c r="B1" s="2"/>
      <c r="C1" s="2"/>
      <c r="D1" s="2"/>
      <c r="E1" s="2"/>
      <c r="F1" s="2"/>
    </row>
    <row r="3" customFormat="false" ht="15" hidden="false" customHeight="fals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customFormat="false" ht="15" hidden="false" customHeight="false" outlineLevel="0" collapsed="false">
      <c r="A4" s="4" t="n">
        <v>1</v>
      </c>
      <c r="B4" s="4" t="s">
        <v>7</v>
      </c>
      <c r="C4" s="4" t="s">
        <v>8</v>
      </c>
      <c r="D4" s="4" t="s">
        <v>9</v>
      </c>
      <c r="E4" s="4" t="n">
        <v>72</v>
      </c>
      <c r="F4" s="4" t="n">
        <v>90</v>
      </c>
    </row>
    <row r="5" customFormat="false" ht="15" hidden="false" customHeight="false" outlineLevel="0" collapsed="false">
      <c r="A5" s="4" t="n">
        <v>2</v>
      </c>
      <c r="B5" s="4" t="s">
        <v>7</v>
      </c>
      <c r="C5" s="4" t="s">
        <v>10</v>
      </c>
      <c r="D5" s="4" t="s">
        <v>11</v>
      </c>
      <c r="E5" s="4" t="n">
        <v>45</v>
      </c>
      <c r="F5" s="4" t="n">
        <v>70</v>
      </c>
    </row>
    <row r="6" customFormat="false" ht="15" hidden="false" customHeight="false" outlineLevel="0" collapsed="false">
      <c r="A6" s="4" t="n">
        <v>3</v>
      </c>
      <c r="B6" s="4" t="s">
        <v>7</v>
      </c>
      <c r="C6" s="4" t="s">
        <v>12</v>
      </c>
      <c r="D6" s="4" t="s">
        <v>9</v>
      </c>
      <c r="E6" s="4" t="n">
        <v>65</v>
      </c>
      <c r="F6" s="4" t="n">
        <v>85</v>
      </c>
    </row>
    <row r="7" customFormat="false" ht="15" hidden="false" customHeight="false" outlineLevel="0" collapsed="false">
      <c r="A7" s="4" t="n">
        <v>4</v>
      </c>
      <c r="B7" s="4" t="s">
        <v>7</v>
      </c>
      <c r="C7" s="4" t="s">
        <v>13</v>
      </c>
      <c r="D7" s="4" t="s">
        <v>14</v>
      </c>
      <c r="E7" s="4" t="n">
        <v>38</v>
      </c>
      <c r="F7" s="4" t="n">
        <v>60</v>
      </c>
    </row>
    <row r="8" customFormat="false" ht="15" hidden="false" customHeight="false" outlineLevel="0" collapsed="false">
      <c r="A8" s="4" t="n">
        <v>5</v>
      </c>
      <c r="B8" s="4" t="s">
        <v>15</v>
      </c>
      <c r="C8" s="4" t="s">
        <v>8</v>
      </c>
      <c r="D8" s="4" t="s">
        <v>11</v>
      </c>
      <c r="E8" s="4" t="n">
        <v>80</v>
      </c>
      <c r="F8" s="4" t="n">
        <v>95</v>
      </c>
    </row>
    <row r="9" customFormat="false" ht="15" hidden="false" customHeight="false" outlineLevel="0" collapsed="false">
      <c r="A9" s="4" t="n">
        <v>6</v>
      </c>
      <c r="B9" s="4" t="s">
        <v>15</v>
      </c>
      <c r="C9" s="4" t="s">
        <v>10</v>
      </c>
      <c r="D9" s="4" t="s">
        <v>14</v>
      </c>
      <c r="E9" s="4" t="n">
        <v>55</v>
      </c>
      <c r="F9" s="4" t="n">
        <v>80</v>
      </c>
    </row>
    <row r="10" customFormat="false" ht="15" hidden="false" customHeight="false" outlineLevel="0" collapsed="false">
      <c r="A10" s="4" t="n">
        <v>7</v>
      </c>
      <c r="B10" s="4" t="s">
        <v>15</v>
      </c>
      <c r="C10" s="4" t="s">
        <v>12</v>
      </c>
      <c r="D10" s="4" t="s">
        <v>9</v>
      </c>
      <c r="E10" s="4" t="n">
        <v>48</v>
      </c>
      <c r="F10" s="4" t="n">
        <v>75</v>
      </c>
    </row>
    <row r="11" customFormat="false" ht="15" hidden="false" customHeight="false" outlineLevel="0" collapsed="false">
      <c r="A11" s="4" t="n">
        <v>8</v>
      </c>
      <c r="B11" s="4" t="s">
        <v>15</v>
      </c>
      <c r="C11" s="4" t="s">
        <v>13</v>
      </c>
      <c r="D11" s="4" t="s">
        <v>11</v>
      </c>
      <c r="E11" s="4" t="n">
        <v>68</v>
      </c>
      <c r="F11" s="4" t="n">
        <v>88</v>
      </c>
    </row>
    <row r="12" customFormat="false" ht="15" hidden="false" customHeight="false" outlineLevel="0" collapsed="false">
      <c r="A12" s="4" t="n">
        <v>9</v>
      </c>
      <c r="B12" s="4" t="s">
        <v>16</v>
      </c>
      <c r="C12" s="4" t="s">
        <v>8</v>
      </c>
      <c r="D12" s="4" t="s">
        <v>14</v>
      </c>
      <c r="E12" s="4" t="n">
        <v>90</v>
      </c>
      <c r="F12" s="4" t="n">
        <v>98</v>
      </c>
    </row>
    <row r="13" customFormat="false" ht="15" hidden="false" customHeight="false" outlineLevel="0" collapsed="false">
      <c r="A13" s="4" t="n">
        <v>10</v>
      </c>
      <c r="B13" s="4" t="s">
        <v>16</v>
      </c>
      <c r="C13" s="4" t="s">
        <v>10</v>
      </c>
      <c r="D13" s="4" t="s">
        <v>9</v>
      </c>
      <c r="E13" s="4" t="n">
        <v>60</v>
      </c>
      <c r="F13" s="4" t="n">
        <v>82</v>
      </c>
    </row>
    <row r="14" customFormat="false" ht="15" hidden="false" customHeight="false" outlineLevel="0" collapsed="false">
      <c r="A14" s="4" t="n">
        <v>11</v>
      </c>
      <c r="B14" s="4" t="s">
        <v>16</v>
      </c>
      <c r="C14" s="4" t="s">
        <v>12</v>
      </c>
      <c r="D14" s="4" t="s">
        <v>11</v>
      </c>
      <c r="E14" s="4" t="n">
        <v>75</v>
      </c>
      <c r="F14" s="4" t="n">
        <v>92</v>
      </c>
    </row>
    <row r="15" customFormat="false" ht="15" hidden="false" customHeight="false" outlineLevel="0" collapsed="false">
      <c r="A15" s="4" t="n">
        <v>12</v>
      </c>
      <c r="B15" s="4" t="s">
        <v>16</v>
      </c>
      <c r="C15" s="4" t="s">
        <v>13</v>
      </c>
      <c r="D15" s="4" t="s">
        <v>14</v>
      </c>
      <c r="E15" s="4" t="n">
        <v>42</v>
      </c>
      <c r="F15" s="4" t="n">
        <v>65</v>
      </c>
    </row>
    <row r="16" customFormat="false" ht="15" hidden="false" customHeight="false" outlineLevel="0" collapsed="false">
      <c r="A16" s="5" t="n">
        <v>12</v>
      </c>
      <c r="B16" s="5" t="s">
        <v>16</v>
      </c>
      <c r="C16" s="5" t="s">
        <v>13</v>
      </c>
      <c r="D16" s="5" t="s">
        <v>14</v>
      </c>
      <c r="E16" s="5" t="n">
        <v>42</v>
      </c>
      <c r="F16" s="5" t="n">
        <v>65</v>
      </c>
    </row>
    <row r="18" customFormat="false" ht="15" hidden="false" customHeight="false" outlineLevel="0" collapsed="false">
      <c r="A18" s="6" t="s">
        <v>17</v>
      </c>
    </row>
    <row r="19" customFormat="false" ht="15" hidden="false" customHeight="false" outlineLevel="0" collapsed="false">
      <c r="A19" s="1" t="s">
        <v>18</v>
      </c>
      <c r="B19" s="1" t="n">
        <f aca="false">COUNTA(A4:A16)</f>
        <v>13</v>
      </c>
    </row>
    <row r="20" customFormat="false" ht="15" hidden="false" customHeight="false" outlineLevel="0" collapsed="false">
      <c r="A20" s="1" t="s">
        <v>19</v>
      </c>
      <c r="B20" s="7" t="s">
        <v>20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3" min="2" style="1" width="14"/>
  </cols>
  <sheetData>
    <row r="1" customFormat="false" ht="16.15" hidden="false" customHeight="false" outlineLevel="0" collapsed="false">
      <c r="A1" s="2" t="s">
        <v>21</v>
      </c>
      <c r="B1" s="2"/>
      <c r="C1" s="2"/>
    </row>
    <row r="3" customFormat="false" ht="15" hidden="false" customHeight="false" outlineLevel="0" collapsed="false">
      <c r="A3" s="3" t="s">
        <v>3</v>
      </c>
      <c r="B3" s="3" t="s">
        <v>22</v>
      </c>
      <c r="C3" s="3" t="s">
        <v>23</v>
      </c>
    </row>
    <row r="4" customFormat="false" ht="15" hidden="false" customHeight="false" outlineLevel="0" collapsed="false">
      <c r="A4" s="4" t="s">
        <v>8</v>
      </c>
      <c r="B4" s="4" t="s">
        <v>24</v>
      </c>
      <c r="C4" s="4" t="s">
        <v>25</v>
      </c>
    </row>
    <row r="5" customFormat="false" ht="15" hidden="false" customHeight="false" outlineLevel="0" collapsed="false">
      <c r="A5" s="4" t="s">
        <v>10</v>
      </c>
      <c r="B5" s="4" t="s">
        <v>26</v>
      </c>
      <c r="C5" s="4" t="s">
        <v>25</v>
      </c>
    </row>
    <row r="6" customFormat="false" ht="15" hidden="false" customHeight="false" outlineLevel="0" collapsed="false">
      <c r="A6" s="4" t="s">
        <v>12</v>
      </c>
      <c r="B6" s="4" t="s">
        <v>27</v>
      </c>
      <c r="C6" s="4" t="s">
        <v>28</v>
      </c>
    </row>
    <row r="7" customFormat="false" ht="15" hidden="false" customHeight="false" outlineLevel="0" collapsed="false">
      <c r="A7" s="4" t="s">
        <v>13</v>
      </c>
      <c r="B7" s="4" t="s">
        <v>29</v>
      </c>
      <c r="C7" s="4" t="s">
        <v>28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0"/>
    <col collapsed="false" customWidth="true" hidden="false" outlineLevel="0" max="4" min="3" style="1" width="12"/>
    <col collapsed="false" customWidth="true" hidden="false" outlineLevel="0" max="5" min="5" style="1" width="10"/>
    <col collapsed="false" customWidth="true" hidden="false" outlineLevel="0" max="6" min="6" style="1" width="16"/>
    <col collapsed="false" customWidth="true" hidden="false" outlineLevel="0" max="7" min="7" style="1" width="14"/>
    <col collapsed="false" customWidth="true" hidden="false" outlineLevel="0" max="8" min="8" style="1" width="12"/>
  </cols>
  <sheetData>
    <row r="1" customFormat="false" ht="16.15" hidden="false" customHeight="false" outlineLevel="0" collapsed="false">
      <c r="A1" s="2" t="s">
        <v>30</v>
      </c>
      <c r="B1" s="2"/>
      <c r="C1" s="2"/>
      <c r="D1" s="2"/>
      <c r="E1" s="2"/>
      <c r="F1" s="2"/>
      <c r="G1" s="2"/>
      <c r="H1" s="2"/>
    </row>
    <row r="3" customFormat="false" ht="15" hidden="false" customHeight="fals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23</v>
      </c>
      <c r="H3" s="3" t="s">
        <v>31</v>
      </c>
    </row>
    <row r="4" customFormat="false" ht="15" hidden="false" customHeight="false" outlineLevel="0" collapsed="false">
      <c r="A4" s="8" t="n">
        <v>1</v>
      </c>
      <c r="B4" s="4" t="s">
        <v>7</v>
      </c>
      <c r="C4" s="4" t="s">
        <v>8</v>
      </c>
      <c r="D4" s="4" t="s">
        <v>9</v>
      </c>
      <c r="E4" s="8" t="n">
        <v>72</v>
      </c>
      <c r="F4" s="8" t="n">
        <v>90</v>
      </c>
      <c r="G4" s="4" t="str">
        <f aca="false">INDEX(Lookup!$C$4:$C$7,MATCH(C4,Lookup!$A$4:$A$7,0))</f>
        <v>Business</v>
      </c>
      <c r="H4" s="8" t="n">
        <f aca="false">IF(E4&gt;=50,1,0)</f>
        <v>1</v>
      </c>
    </row>
    <row r="5" customFormat="false" ht="15" hidden="false" customHeight="false" outlineLevel="0" collapsed="false">
      <c r="A5" s="8" t="n">
        <v>2</v>
      </c>
      <c r="B5" s="4" t="s">
        <v>7</v>
      </c>
      <c r="C5" s="4" t="s">
        <v>10</v>
      </c>
      <c r="D5" s="4" t="s">
        <v>11</v>
      </c>
      <c r="E5" s="8" t="n">
        <v>45</v>
      </c>
      <c r="F5" s="8" t="n">
        <v>70</v>
      </c>
      <c r="G5" s="4" t="str">
        <f aca="false">INDEX(Lookup!$C$4:$C$7,MATCH(C5,Lookup!$A$4:$A$7,0))</f>
        <v>Business</v>
      </c>
      <c r="H5" s="8" t="n">
        <f aca="false">IF(E5&gt;=50,1,0)</f>
        <v>0</v>
      </c>
    </row>
    <row r="6" customFormat="false" ht="15" hidden="false" customHeight="false" outlineLevel="0" collapsed="false">
      <c r="A6" s="8" t="n">
        <v>3</v>
      </c>
      <c r="B6" s="4" t="s">
        <v>7</v>
      </c>
      <c r="C6" s="4" t="s">
        <v>12</v>
      </c>
      <c r="D6" s="4" t="s">
        <v>9</v>
      </c>
      <c r="E6" s="8" t="n">
        <v>65</v>
      </c>
      <c r="F6" s="8" t="n">
        <v>85</v>
      </c>
      <c r="G6" s="4" t="str">
        <f aca="false">INDEX(Lookup!$C$4:$C$7,MATCH(C6,Lookup!$A$4:$A$7,0))</f>
        <v>Technology</v>
      </c>
      <c r="H6" s="8" t="n">
        <f aca="false">IF(E6&gt;=50,1,0)</f>
        <v>1</v>
      </c>
    </row>
    <row r="7" customFormat="false" ht="15" hidden="false" customHeight="false" outlineLevel="0" collapsed="false">
      <c r="A7" s="8" t="n">
        <v>4</v>
      </c>
      <c r="B7" s="4" t="s">
        <v>7</v>
      </c>
      <c r="C7" s="4" t="s">
        <v>13</v>
      </c>
      <c r="D7" s="4" t="s">
        <v>14</v>
      </c>
      <c r="E7" s="8" t="n">
        <v>38</v>
      </c>
      <c r="F7" s="8" t="n">
        <v>60</v>
      </c>
      <c r="G7" s="4" t="str">
        <f aca="false">INDEX(Lookup!$C$4:$C$7,MATCH(C7,Lookup!$A$4:$A$7,0))</f>
        <v>Technology</v>
      </c>
      <c r="H7" s="8" t="n">
        <f aca="false">IF(E7&gt;=50,1,0)</f>
        <v>0</v>
      </c>
    </row>
    <row r="8" customFormat="false" ht="15" hidden="false" customHeight="false" outlineLevel="0" collapsed="false">
      <c r="A8" s="8" t="n">
        <v>5</v>
      </c>
      <c r="B8" s="4" t="s">
        <v>15</v>
      </c>
      <c r="C8" s="4" t="s">
        <v>8</v>
      </c>
      <c r="D8" s="4" t="s">
        <v>11</v>
      </c>
      <c r="E8" s="8" t="n">
        <v>80</v>
      </c>
      <c r="F8" s="8" t="n">
        <v>95</v>
      </c>
      <c r="G8" s="4" t="str">
        <f aca="false">INDEX(Lookup!$C$4:$C$7,MATCH(C8,Lookup!$A$4:$A$7,0))</f>
        <v>Business</v>
      </c>
      <c r="H8" s="8" t="n">
        <f aca="false">IF(E8&gt;=50,1,0)</f>
        <v>1</v>
      </c>
    </row>
    <row r="9" customFormat="false" ht="15" hidden="false" customHeight="false" outlineLevel="0" collapsed="false">
      <c r="A9" s="8" t="n">
        <v>6</v>
      </c>
      <c r="B9" s="4" t="s">
        <v>15</v>
      </c>
      <c r="C9" s="4" t="s">
        <v>10</v>
      </c>
      <c r="D9" s="4" t="s">
        <v>14</v>
      </c>
      <c r="E9" s="8" t="n">
        <v>55</v>
      </c>
      <c r="F9" s="8" t="n">
        <v>80</v>
      </c>
      <c r="G9" s="4" t="str">
        <f aca="false">INDEX(Lookup!$C$4:$C$7,MATCH(C9,Lookup!$A$4:$A$7,0))</f>
        <v>Business</v>
      </c>
      <c r="H9" s="8" t="n">
        <f aca="false">IF(E9&gt;=50,1,0)</f>
        <v>1</v>
      </c>
    </row>
    <row r="10" customFormat="false" ht="15" hidden="false" customHeight="false" outlineLevel="0" collapsed="false">
      <c r="A10" s="8" t="n">
        <v>7</v>
      </c>
      <c r="B10" s="4" t="s">
        <v>15</v>
      </c>
      <c r="C10" s="4" t="s">
        <v>12</v>
      </c>
      <c r="D10" s="4" t="s">
        <v>9</v>
      </c>
      <c r="E10" s="8" t="n">
        <v>48</v>
      </c>
      <c r="F10" s="8" t="n">
        <v>75</v>
      </c>
      <c r="G10" s="4" t="str">
        <f aca="false">INDEX(Lookup!$C$4:$C$7,MATCH(C10,Lookup!$A$4:$A$7,0))</f>
        <v>Technology</v>
      </c>
      <c r="H10" s="8" t="n">
        <f aca="false">IF(E10&gt;=50,1,0)</f>
        <v>0</v>
      </c>
    </row>
    <row r="11" customFormat="false" ht="15" hidden="false" customHeight="false" outlineLevel="0" collapsed="false">
      <c r="A11" s="8" t="n">
        <v>8</v>
      </c>
      <c r="B11" s="4" t="s">
        <v>15</v>
      </c>
      <c r="C11" s="4" t="s">
        <v>13</v>
      </c>
      <c r="D11" s="4" t="s">
        <v>11</v>
      </c>
      <c r="E11" s="8" t="n">
        <v>68</v>
      </c>
      <c r="F11" s="8" t="n">
        <v>88</v>
      </c>
      <c r="G11" s="4" t="str">
        <f aca="false">INDEX(Lookup!$C$4:$C$7,MATCH(C11,Lookup!$A$4:$A$7,0))</f>
        <v>Technology</v>
      </c>
      <c r="H11" s="8" t="n">
        <f aca="false">IF(E11&gt;=50,1,0)</f>
        <v>1</v>
      </c>
    </row>
    <row r="12" customFormat="false" ht="15" hidden="false" customHeight="false" outlineLevel="0" collapsed="false">
      <c r="A12" s="8" t="n">
        <v>9</v>
      </c>
      <c r="B12" s="4" t="s">
        <v>16</v>
      </c>
      <c r="C12" s="4" t="s">
        <v>8</v>
      </c>
      <c r="D12" s="4" t="s">
        <v>14</v>
      </c>
      <c r="E12" s="8" t="n">
        <v>90</v>
      </c>
      <c r="F12" s="8" t="n">
        <v>98</v>
      </c>
      <c r="G12" s="4" t="str">
        <f aca="false">INDEX(Lookup!$C$4:$C$7,MATCH(C12,Lookup!$A$4:$A$7,0))</f>
        <v>Business</v>
      </c>
      <c r="H12" s="8" t="n">
        <f aca="false">IF(E12&gt;=50,1,0)</f>
        <v>1</v>
      </c>
    </row>
    <row r="13" customFormat="false" ht="15" hidden="false" customHeight="false" outlineLevel="0" collapsed="false">
      <c r="A13" s="8" t="n">
        <v>10</v>
      </c>
      <c r="B13" s="4" t="s">
        <v>16</v>
      </c>
      <c r="C13" s="4" t="s">
        <v>10</v>
      </c>
      <c r="D13" s="4" t="s">
        <v>9</v>
      </c>
      <c r="E13" s="8" t="n">
        <v>60</v>
      </c>
      <c r="F13" s="8" t="n">
        <v>82</v>
      </c>
      <c r="G13" s="4" t="str">
        <f aca="false">INDEX(Lookup!$C$4:$C$7,MATCH(C13,Lookup!$A$4:$A$7,0))</f>
        <v>Business</v>
      </c>
      <c r="H13" s="8" t="n">
        <f aca="false">IF(E13&gt;=50,1,0)</f>
        <v>1</v>
      </c>
    </row>
    <row r="14" customFormat="false" ht="15" hidden="false" customHeight="false" outlineLevel="0" collapsed="false">
      <c r="A14" s="8" t="n">
        <v>11</v>
      </c>
      <c r="B14" s="4" t="s">
        <v>16</v>
      </c>
      <c r="C14" s="4" t="s">
        <v>12</v>
      </c>
      <c r="D14" s="4" t="s">
        <v>11</v>
      </c>
      <c r="E14" s="8" t="n">
        <v>75</v>
      </c>
      <c r="F14" s="8" t="n">
        <v>92</v>
      </c>
      <c r="G14" s="4" t="str">
        <f aca="false">INDEX(Lookup!$C$4:$C$7,MATCH(C14,Lookup!$A$4:$A$7,0))</f>
        <v>Technology</v>
      </c>
      <c r="H14" s="8" t="n">
        <f aca="false">IF(E14&gt;=50,1,0)</f>
        <v>1</v>
      </c>
    </row>
    <row r="15" customFormat="false" ht="15" hidden="false" customHeight="false" outlineLevel="0" collapsed="false">
      <c r="A15" s="8" t="n">
        <v>12</v>
      </c>
      <c r="B15" s="4" t="s">
        <v>16</v>
      </c>
      <c r="C15" s="4" t="s">
        <v>13</v>
      </c>
      <c r="D15" s="4" t="s">
        <v>14</v>
      </c>
      <c r="E15" s="8" t="n">
        <v>42</v>
      </c>
      <c r="F15" s="8" t="n">
        <v>65</v>
      </c>
      <c r="G15" s="4" t="str">
        <f aca="false">INDEX(Lookup!$C$4:$C$7,MATCH(C15,Lookup!$A$4:$A$7,0))</f>
        <v>Technology</v>
      </c>
      <c r="H15" s="8" t="n">
        <f aca="false">IF(E15&gt;=50,1,0)</f>
        <v>0</v>
      </c>
    </row>
    <row r="17" customFormat="false" ht="15" hidden="false" customHeight="false" outlineLevel="0" collapsed="false">
      <c r="A17" s="6" t="s">
        <v>17</v>
      </c>
    </row>
    <row r="18" customFormat="false" ht="15" hidden="false" customHeight="false" outlineLevel="0" collapsed="false">
      <c r="A18" s="1" t="s">
        <v>32</v>
      </c>
      <c r="B18" s="1" t="n">
        <f aca="false">COUNTA(Raw!A4:A16)</f>
        <v>13</v>
      </c>
    </row>
    <row r="19" customFormat="false" ht="15" hidden="false" customHeight="false" outlineLevel="0" collapsed="false">
      <c r="A19" s="1" t="s">
        <v>33</v>
      </c>
      <c r="B19" s="1" t="n">
        <f aca="false">COUNTA(A4:A15)</f>
        <v>12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5" min="2" style="1" width="14"/>
  </cols>
  <sheetData>
    <row r="1" customFormat="false" ht="16.15" hidden="false" customHeight="false" outlineLevel="0" collapsed="false">
      <c r="A1" s="2" t="s">
        <v>34</v>
      </c>
      <c r="B1" s="2"/>
      <c r="C1" s="2"/>
      <c r="D1" s="2"/>
      <c r="E1" s="2"/>
    </row>
    <row r="3" customFormat="false" ht="15" hidden="false" customHeight="false" outlineLevel="0" collapsed="false">
      <c r="A3" s="9" t="s">
        <v>35</v>
      </c>
    </row>
    <row r="4" customFormat="false" ht="15" hidden="false" customHeight="false" outlineLevel="0" collapsed="false">
      <c r="A4" s="3" t="s">
        <v>36</v>
      </c>
      <c r="B4" s="3" t="s">
        <v>37</v>
      </c>
    </row>
    <row r="5" customFormat="false" ht="15" hidden="false" customHeight="false" outlineLevel="0" collapsed="false">
      <c r="A5" s="4" t="s">
        <v>9</v>
      </c>
      <c r="B5" s="4" t="n">
        <f aca="false">COUNTIFS(Clean!$D$4:$D$15,A5,Clean!$H$4:$H$15,1)</f>
        <v>3</v>
      </c>
    </row>
    <row r="6" customFormat="false" ht="15" hidden="false" customHeight="false" outlineLevel="0" collapsed="false">
      <c r="A6" s="4" t="s">
        <v>11</v>
      </c>
      <c r="B6" s="4" t="n">
        <f aca="false">COUNTIFS(Clean!$D$4:$D$15,A6,Clean!$H$4:$H$15,1)</f>
        <v>3</v>
      </c>
    </row>
    <row r="7" customFormat="false" ht="15" hidden="false" customHeight="false" outlineLevel="0" collapsed="false">
      <c r="A7" s="4" t="s">
        <v>14</v>
      </c>
      <c r="B7" s="4" t="n">
        <f aca="false">COUNTIFS(Clean!$D$4:$D$15,A7,Clean!$H$4:$H$15,1)</f>
        <v>2</v>
      </c>
    </row>
    <row r="10" customFormat="false" ht="15" hidden="false" customHeight="false" outlineLevel="0" collapsed="false">
      <c r="A10" s="9" t="s">
        <v>38</v>
      </c>
    </row>
    <row r="11" customFormat="false" ht="15" hidden="false" customHeight="false" outlineLevel="0" collapsed="false">
      <c r="A11" s="3" t="s">
        <v>39</v>
      </c>
      <c r="B11" s="3" t="s">
        <v>7</v>
      </c>
      <c r="C11" s="3" t="s">
        <v>15</v>
      </c>
      <c r="D11" s="3" t="s">
        <v>16</v>
      </c>
      <c r="E11" s="3" t="s">
        <v>40</v>
      </c>
    </row>
    <row r="12" customFormat="false" ht="15" hidden="false" customHeight="false" outlineLevel="0" collapsed="false">
      <c r="A12" s="4" t="s">
        <v>25</v>
      </c>
      <c r="B12" s="10" t="n">
        <f aca="false">IFERROR(ROUND(AVERAGEIFS(Clean!$E$4:$E$15,Clean!$G$4:$G$15,$A12,Clean!$B$4:$B$15,B$11),2),"")</f>
        <v>58.5</v>
      </c>
      <c r="C12" s="10" t="n">
        <f aca="false">IFERROR(ROUND(AVERAGEIFS(Clean!$E$4:$E$15,Clean!$G$4:$G$15,$A12,Clean!$B$4:$B$15,C$11),2),"")</f>
        <v>67.5</v>
      </c>
      <c r="D12" s="10" t="n">
        <f aca="false">IFERROR(ROUND(AVERAGEIFS(Clean!$E$4:$E$15,Clean!$G$4:$G$15,$A12,Clean!$B$4:$B$15,D$11),2),"")</f>
        <v>75</v>
      </c>
      <c r="E12" s="10" t="n">
        <f aca="false">ROUND(AVERAGEIFS(Clean!$E$4:$E$15,Clean!$G$4:$G$15,$A12),2)</f>
        <v>67</v>
      </c>
    </row>
    <row r="13" customFormat="false" ht="15" hidden="false" customHeight="false" outlineLevel="0" collapsed="false">
      <c r="A13" s="4" t="s">
        <v>28</v>
      </c>
      <c r="B13" s="10" t="n">
        <f aca="false">IFERROR(ROUND(AVERAGEIFS(Clean!$E$4:$E$15,Clean!$G$4:$G$15,$A13,Clean!$B$4:$B$15,B$11),2),"")</f>
        <v>51.5</v>
      </c>
      <c r="C13" s="10" t="n">
        <f aca="false">IFERROR(ROUND(AVERAGEIFS(Clean!$E$4:$E$15,Clean!$G$4:$G$15,$A13,Clean!$B$4:$B$15,C$11),2),"")</f>
        <v>58</v>
      </c>
      <c r="D13" s="10" t="n">
        <f aca="false">IFERROR(ROUND(AVERAGEIFS(Clean!$E$4:$E$15,Clean!$G$4:$G$15,$A13,Clean!$B$4:$B$15,D$11),2),"")</f>
        <v>58.5</v>
      </c>
      <c r="E13" s="10" t="n">
        <f aca="false">ROUND(AVERAGEIFS(Clean!$E$4:$E$15,Clean!$G$4:$G$15,$A13),2)</f>
        <v>56</v>
      </c>
    </row>
    <row r="14" customFormat="false" ht="15" hidden="false" customHeight="false" outlineLevel="0" collapsed="false">
      <c r="A14" s="6" t="s">
        <v>40</v>
      </c>
      <c r="B14" s="11" t="n">
        <f aca="false">ROUND(AVERAGEIFS(Clean!$E$4:$E$15,Clean!$B$4:$B$15,B$11),2)</f>
        <v>55</v>
      </c>
      <c r="C14" s="11" t="n">
        <f aca="false">ROUND(AVERAGEIFS(Clean!$E$4:$E$15,Clean!$B$4:$B$15,C$11),2)</f>
        <v>62.75</v>
      </c>
      <c r="D14" s="11" t="n">
        <f aca="false">ROUND(AVERAGEIFS(Clean!$E$4:$E$15,Clean!$B$4:$B$15,D$11),2)</f>
        <v>66.75</v>
      </c>
      <c r="E14" s="11" t="n">
        <f aca="false">ROUND(AVERAGE(Clean!$E$4:$E$15),2)</f>
        <v>61.5</v>
      </c>
    </row>
    <row r="16" customFormat="false" ht="45" hidden="false" customHeight="true" outlineLevel="0" collapsed="false">
      <c r="A16" s="12" t="s">
        <v>41</v>
      </c>
      <c r="B16" s="12"/>
      <c r="C16" s="12"/>
      <c r="D16" s="12"/>
      <c r="E16" s="12"/>
      <c r="F16" s="12"/>
      <c r="G16" s="12"/>
      <c r="H16" s="12"/>
    </row>
  </sheetData>
  <mergeCells count="2">
    <mergeCell ref="A1:E1"/>
    <mergeCell ref="A16:H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4" min="2" style="1" width="14"/>
    <col collapsed="false" customWidth="true" hidden="false" outlineLevel="0" max="5" min="5" style="1" width="18"/>
    <col collapsed="false" customWidth="true" hidden="false" outlineLevel="0" max="6" min="6" style="1" width="14"/>
  </cols>
  <sheetData>
    <row r="1" customFormat="false" ht="16.15" hidden="false" customHeight="false" outlineLevel="0" collapsed="false">
      <c r="A1" s="2" t="s">
        <v>42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7" t="s">
        <v>43</v>
      </c>
    </row>
    <row r="4" customFormat="false" ht="15" hidden="false" customHeight="false" outlineLevel="0" collapsed="false">
      <c r="A4" s="9" t="s">
        <v>44</v>
      </c>
    </row>
    <row r="5" customFormat="false" ht="15" hidden="false" customHeight="false" outlineLevel="0" collapsed="false">
      <c r="A5" s="1" t="s">
        <v>45</v>
      </c>
      <c r="B5" s="13" t="n">
        <f aca="false">ROUND(CORREL(Clean!$E$4:$E$15,Clean!$F$4:$F$15),3)</f>
        <v>0.977</v>
      </c>
    </row>
    <row r="6" customFormat="false" ht="15" hidden="false" customHeight="false" outlineLevel="0" collapsed="false">
      <c r="A6" s="14" t="s">
        <v>46</v>
      </c>
      <c r="B6" s="14"/>
      <c r="C6" s="14"/>
      <c r="D6" s="14"/>
      <c r="E6" s="14"/>
      <c r="F6" s="14"/>
    </row>
    <row r="8" customFormat="false" ht="15" hidden="false" customHeight="false" outlineLevel="0" collapsed="false">
      <c r="A8" s="9" t="s">
        <v>47</v>
      </c>
    </row>
    <row r="9" customFormat="false" ht="15" hidden="false" customHeight="false" outlineLevel="0" collapsed="false">
      <c r="A9" s="3" t="s">
        <v>36</v>
      </c>
      <c r="B9" s="3" t="s">
        <v>39</v>
      </c>
      <c r="C9" s="3" t="s">
        <v>48</v>
      </c>
      <c r="D9" s="3" t="s">
        <v>49</v>
      </c>
      <c r="E9" s="3" t="s">
        <v>50</v>
      </c>
    </row>
    <row r="10" customFormat="false" ht="15" hidden="false" customHeight="false" outlineLevel="0" collapsed="false">
      <c r="A10" s="4" t="s">
        <v>9</v>
      </c>
      <c r="B10" s="4" t="s">
        <v>25</v>
      </c>
      <c r="C10" s="10" t="n">
        <f aca="false">IFERROR(ROUND(AVERAGEIFS(Clean!$E$4:$E$15,Clean!$D$4:$D$15,A10,Clean!$G$4:$G$15,B10),2),"n/a")</f>
        <v>66</v>
      </c>
      <c r="D10" s="10" t="n">
        <f aca="false">IFERROR(ROUND(AVERAGEIFS(Clean!$F$4:$F$15,Clean!$D$4:$D$15,A10,Clean!$G$4:$G$15,B10),2),"n/a")</f>
        <v>86</v>
      </c>
      <c r="E10" s="4" t="n">
        <f aca="false">COUNTIFS(Clean!$D$4:$D$15,A10,Clean!$G$4:$G$15,B10)</f>
        <v>2</v>
      </c>
    </row>
    <row r="11" customFormat="false" ht="15" hidden="false" customHeight="false" outlineLevel="0" collapsed="false">
      <c r="A11" s="4" t="s">
        <v>9</v>
      </c>
      <c r="B11" s="4" t="s">
        <v>28</v>
      </c>
      <c r="C11" s="10" t="n">
        <f aca="false">IFERROR(ROUND(AVERAGEIFS(Clean!$E$4:$E$15,Clean!$D$4:$D$15,A11,Clean!$G$4:$G$15,B11),2),"n/a")</f>
        <v>56.5</v>
      </c>
      <c r="D11" s="10" t="n">
        <f aca="false">IFERROR(ROUND(AVERAGEIFS(Clean!$F$4:$F$15,Clean!$D$4:$D$15,A11,Clean!$G$4:$G$15,B11),2),"n/a")</f>
        <v>80</v>
      </c>
      <c r="E11" s="4" t="n">
        <f aca="false">COUNTIFS(Clean!$D$4:$D$15,A11,Clean!$G$4:$G$15,B11)</f>
        <v>2</v>
      </c>
    </row>
    <row r="12" customFormat="false" ht="15" hidden="false" customHeight="false" outlineLevel="0" collapsed="false">
      <c r="A12" s="4" t="s">
        <v>11</v>
      </c>
      <c r="B12" s="4" t="s">
        <v>25</v>
      </c>
      <c r="C12" s="10" t="n">
        <f aca="false">IFERROR(ROUND(AVERAGEIFS(Clean!$E$4:$E$15,Clean!$D$4:$D$15,A12,Clean!$G$4:$G$15,B12),2),"n/a")</f>
        <v>62.5</v>
      </c>
      <c r="D12" s="10" t="n">
        <f aca="false">IFERROR(ROUND(AVERAGEIFS(Clean!$F$4:$F$15,Clean!$D$4:$D$15,A12,Clean!$G$4:$G$15,B12),2),"n/a")</f>
        <v>82.5</v>
      </c>
      <c r="E12" s="4" t="n">
        <f aca="false">COUNTIFS(Clean!$D$4:$D$15,A12,Clean!$G$4:$G$15,B12)</f>
        <v>2</v>
      </c>
    </row>
    <row r="13" customFormat="false" ht="15" hidden="false" customHeight="false" outlineLevel="0" collapsed="false">
      <c r="A13" s="4" t="s">
        <v>11</v>
      </c>
      <c r="B13" s="4" t="s">
        <v>28</v>
      </c>
      <c r="C13" s="10" t="n">
        <f aca="false">IFERROR(ROUND(AVERAGEIFS(Clean!$E$4:$E$15,Clean!$D$4:$D$15,A13,Clean!$G$4:$G$15,B13),2),"n/a")</f>
        <v>71.5</v>
      </c>
      <c r="D13" s="10" t="n">
        <f aca="false">IFERROR(ROUND(AVERAGEIFS(Clean!$F$4:$F$15,Clean!$D$4:$D$15,A13,Clean!$G$4:$G$15,B13),2),"n/a")</f>
        <v>90</v>
      </c>
      <c r="E13" s="4" t="n">
        <f aca="false">COUNTIFS(Clean!$D$4:$D$15,A13,Clean!$G$4:$G$15,B13)</f>
        <v>2</v>
      </c>
    </row>
    <row r="14" customFormat="false" ht="15" hidden="false" customHeight="false" outlineLevel="0" collapsed="false">
      <c r="A14" s="4" t="s">
        <v>14</v>
      </c>
      <c r="B14" s="4" t="s">
        <v>25</v>
      </c>
      <c r="C14" s="10" t="n">
        <f aca="false">IFERROR(ROUND(AVERAGEIFS(Clean!$E$4:$E$15,Clean!$D$4:$D$15,A14,Clean!$G$4:$G$15,B14),2),"n/a")</f>
        <v>72.5</v>
      </c>
      <c r="D14" s="10" t="n">
        <f aca="false">IFERROR(ROUND(AVERAGEIFS(Clean!$F$4:$F$15,Clean!$D$4:$D$15,A14,Clean!$G$4:$G$15,B14),2),"n/a")</f>
        <v>89</v>
      </c>
      <c r="E14" s="4" t="n">
        <f aca="false">COUNTIFS(Clean!$D$4:$D$15,A14,Clean!$G$4:$G$15,B14)</f>
        <v>2</v>
      </c>
    </row>
    <row r="15" customFormat="false" ht="15" hidden="false" customHeight="false" outlineLevel="0" collapsed="false">
      <c r="A15" s="15" t="s">
        <v>14</v>
      </c>
      <c r="B15" s="15" t="s">
        <v>28</v>
      </c>
      <c r="C15" s="16" t="n">
        <f aca="false">IFERROR(ROUND(AVERAGEIFS(Clean!$E$4:$E$15,Clean!$D$4:$D$15,A15,Clean!$G$4:$G$15,B15),2),"n/a")</f>
        <v>40</v>
      </c>
      <c r="D15" s="16" t="n">
        <f aca="false">IFERROR(ROUND(AVERAGEIFS(Clean!$F$4:$F$15,Clean!$D$4:$D$15,A15,Clean!$G$4:$G$15,B15),2),"n/a")</f>
        <v>62.5</v>
      </c>
      <c r="E15" s="15" t="n">
        <f aca="false">COUNTIFS(Clean!$D$4:$D$15,A15,Clean!$G$4:$G$15,B15)</f>
        <v>2</v>
      </c>
    </row>
    <row r="17" customFormat="false" ht="15" hidden="false" customHeight="false" outlineLevel="0" collapsed="false">
      <c r="A17" s="7" t="s">
        <v>51</v>
      </c>
    </row>
    <row r="19" customFormat="false" ht="15" hidden="false" customHeight="false" outlineLevel="0" collapsed="false">
      <c r="A19" s="9" t="s">
        <v>52</v>
      </c>
    </row>
    <row r="20" customFormat="false" ht="15" hidden="false" customHeight="false" outlineLevel="0" collapsed="false">
      <c r="A20" s="3" t="s">
        <v>53</v>
      </c>
      <c r="B20" s="3" t="s">
        <v>7</v>
      </c>
      <c r="C20" s="3" t="s">
        <v>15</v>
      </c>
      <c r="D20" s="3" t="s">
        <v>16</v>
      </c>
      <c r="E20" s="3" t="s">
        <v>54</v>
      </c>
    </row>
    <row r="21" customFormat="false" ht="15" hidden="false" customHeight="false" outlineLevel="0" collapsed="false">
      <c r="A21" s="4" t="s">
        <v>24</v>
      </c>
      <c r="B21" s="10" t="n">
        <f aca="false">IFERROR(ROUND(AVERAGEIFS(Clean!$E$4:$E$15,Clean!$C$4:$C$15,"C1",Clean!$B$4:$B$15,"Jan"),2),"")</f>
        <v>72</v>
      </c>
      <c r="C21" s="10" t="n">
        <f aca="false">IFERROR(ROUND(AVERAGEIFS(Clean!$E$4:$E$15,Clean!$C$4:$C$15,"C1",Clean!$B$4:$B$15,"Feb"),2),"")</f>
        <v>80</v>
      </c>
      <c r="D21" s="10" t="n">
        <f aca="false">IFERROR(ROUND(AVERAGEIFS(Clean!$E$4:$E$15,Clean!$C$4:$C$15,"C1",Clean!$B$4:$B$15,"Mar"),2),"")</f>
        <v>90</v>
      </c>
      <c r="E21" s="10" t="n">
        <f aca="false">D21-B21</f>
        <v>18</v>
      </c>
    </row>
    <row r="22" customFormat="false" ht="15" hidden="false" customHeight="false" outlineLevel="0" collapsed="false">
      <c r="A22" s="4" t="s">
        <v>26</v>
      </c>
      <c r="B22" s="10" t="n">
        <f aca="false">IFERROR(ROUND(AVERAGEIFS(Clean!$E$4:$E$15,Clean!$C$4:$C$15,"C2",Clean!$B$4:$B$15,"Jan"),2),"")</f>
        <v>45</v>
      </c>
      <c r="C22" s="10" t="n">
        <f aca="false">IFERROR(ROUND(AVERAGEIFS(Clean!$E$4:$E$15,Clean!$C$4:$C$15,"C2",Clean!$B$4:$B$15,"Feb"),2),"")</f>
        <v>55</v>
      </c>
      <c r="D22" s="10" t="n">
        <f aca="false">IFERROR(ROUND(AVERAGEIFS(Clean!$E$4:$E$15,Clean!$C$4:$C$15,"C2",Clean!$B$4:$B$15,"Mar"),2),"")</f>
        <v>60</v>
      </c>
      <c r="E22" s="10" t="n">
        <f aca="false">D22-B22</f>
        <v>15</v>
      </c>
    </row>
    <row r="23" customFormat="false" ht="15" hidden="false" customHeight="false" outlineLevel="0" collapsed="false">
      <c r="A23" s="4" t="s">
        <v>27</v>
      </c>
      <c r="B23" s="10" t="n">
        <f aca="false">IFERROR(ROUND(AVERAGEIFS(Clean!$E$4:$E$15,Clean!$C$4:$C$15,"C3",Clean!$B$4:$B$15,"Jan"),2),"")</f>
        <v>65</v>
      </c>
      <c r="C23" s="10" t="n">
        <f aca="false">IFERROR(ROUND(AVERAGEIFS(Clean!$E$4:$E$15,Clean!$C$4:$C$15,"C3",Clean!$B$4:$B$15,"Feb"),2),"")</f>
        <v>48</v>
      </c>
      <c r="D23" s="10" t="n">
        <f aca="false">IFERROR(ROUND(AVERAGEIFS(Clean!$E$4:$E$15,Clean!$C$4:$C$15,"C3",Clean!$B$4:$B$15,"Mar"),2),"")</f>
        <v>75</v>
      </c>
      <c r="E23" s="10" t="n">
        <f aca="false">D23-B23</f>
        <v>10</v>
      </c>
    </row>
    <row r="24" customFormat="false" ht="15" hidden="false" customHeight="false" outlineLevel="0" collapsed="false">
      <c r="A24" s="4" t="s">
        <v>29</v>
      </c>
      <c r="B24" s="10" t="n">
        <f aca="false">IFERROR(ROUND(AVERAGEIFS(Clean!$E$4:$E$15,Clean!$C$4:$C$15,"C4",Clean!$B$4:$B$15,"Jan"),2),"")</f>
        <v>38</v>
      </c>
      <c r="C24" s="10" t="n">
        <f aca="false">IFERROR(ROUND(AVERAGEIFS(Clean!$E$4:$E$15,Clean!$C$4:$C$15,"C4",Clean!$B$4:$B$15,"Feb"),2),"")</f>
        <v>68</v>
      </c>
      <c r="D24" s="10" t="n">
        <f aca="false">IFERROR(ROUND(AVERAGEIFS(Clean!$E$4:$E$15,Clean!$C$4:$C$15,"C4",Clean!$B$4:$B$15,"Mar"),2),"")</f>
        <v>42</v>
      </c>
      <c r="E24" s="10" t="n">
        <f aca="false">D24-B24</f>
        <v>4</v>
      </c>
    </row>
    <row r="27" customFormat="false" ht="15" hidden="false" customHeight="false" outlineLevel="0" collapsed="false">
      <c r="A27" s="9" t="s">
        <v>55</v>
      </c>
    </row>
    <row r="28" customFormat="false" ht="15" hidden="false" customHeight="false" outlineLevel="0" collapsed="false">
      <c r="A28" s="3" t="s">
        <v>1</v>
      </c>
      <c r="B28" s="3" t="s">
        <v>2</v>
      </c>
      <c r="C28" s="3" t="s">
        <v>3</v>
      </c>
      <c r="D28" s="3" t="s">
        <v>4</v>
      </c>
      <c r="E28" s="3" t="s">
        <v>5</v>
      </c>
      <c r="F28" s="3" t="s">
        <v>6</v>
      </c>
      <c r="G28" s="3" t="s">
        <v>31</v>
      </c>
    </row>
    <row r="29" customFormat="false" ht="15" hidden="false" customHeight="false" outlineLevel="0" collapsed="false">
      <c r="A29" s="8" t="n">
        <f aca="false">Clean!A5</f>
        <v>2</v>
      </c>
      <c r="B29" s="4" t="str">
        <f aca="false">Clean!B5</f>
        <v>Jan</v>
      </c>
      <c r="C29" s="4" t="str">
        <f aca="false">Clean!C5</f>
        <v>C2</v>
      </c>
      <c r="D29" s="4" t="str">
        <f aca="false">Clean!D5</f>
        <v>Evening</v>
      </c>
      <c r="E29" s="8" t="n">
        <f aca="false">Clean!E5</f>
        <v>45</v>
      </c>
      <c r="F29" s="8" t="n">
        <f aca="false">Clean!F5</f>
        <v>70</v>
      </c>
      <c r="G29" s="8" t="n">
        <f aca="false">Clean!H5</f>
        <v>0</v>
      </c>
    </row>
    <row r="30" customFormat="false" ht="15" hidden="false" customHeight="false" outlineLevel="0" collapsed="false">
      <c r="A30" s="8" t="n">
        <f aca="false">Clean!A7</f>
        <v>4</v>
      </c>
      <c r="B30" s="4" t="str">
        <f aca="false">Clean!B7</f>
        <v>Jan</v>
      </c>
      <c r="C30" s="4" t="str">
        <f aca="false">Clean!C7</f>
        <v>C4</v>
      </c>
      <c r="D30" s="4" t="str">
        <f aca="false">Clean!D7</f>
        <v>Weekend</v>
      </c>
      <c r="E30" s="8" t="n">
        <f aca="false">Clean!E7</f>
        <v>38</v>
      </c>
      <c r="F30" s="8" t="n">
        <f aca="false">Clean!F7</f>
        <v>60</v>
      </c>
      <c r="G30" s="8" t="n">
        <f aca="false">Clean!H7</f>
        <v>0</v>
      </c>
    </row>
    <row r="31" customFormat="false" ht="15" hidden="false" customHeight="false" outlineLevel="0" collapsed="false">
      <c r="A31" s="8" t="n">
        <f aca="false">Clean!A15</f>
        <v>12</v>
      </c>
      <c r="B31" s="4" t="str">
        <f aca="false">Clean!B15</f>
        <v>Mar</v>
      </c>
      <c r="C31" s="4" t="str">
        <f aca="false">Clean!C15</f>
        <v>C4</v>
      </c>
      <c r="D31" s="4" t="str">
        <f aca="false">Clean!D15</f>
        <v>Weekend</v>
      </c>
      <c r="E31" s="8" t="n">
        <f aca="false">Clean!E15</f>
        <v>42</v>
      </c>
      <c r="F31" s="8" t="n">
        <f aca="false">Clean!F15</f>
        <v>65</v>
      </c>
      <c r="G31" s="8" t="n">
        <f aca="false">Clean!H15</f>
        <v>0</v>
      </c>
    </row>
    <row r="33" customFormat="false" ht="15" hidden="false" customHeight="false" outlineLevel="0" collapsed="false">
      <c r="A33" s="14" t="s">
        <v>56</v>
      </c>
      <c r="B33" s="14"/>
      <c r="C33" s="14"/>
      <c r="D33" s="14"/>
      <c r="E33" s="14"/>
      <c r="F33" s="14"/>
      <c r="G33" s="14"/>
    </row>
  </sheetData>
  <mergeCells count="3">
    <mergeCell ref="A1:F1"/>
    <mergeCell ref="A6:F6"/>
    <mergeCell ref="A33:G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2026-10-03T04:37:42Z</dcterms:created>
  <dc:creator>openpyxl</dc:creator>
  <dc:description/>
  <dc:language>en-US</dc:language>
  <cp:lastModifiedBy/>
  <dcterms:modified xsi:type="dcterms:W3CDTF">2026-10-03T04:47:35Z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